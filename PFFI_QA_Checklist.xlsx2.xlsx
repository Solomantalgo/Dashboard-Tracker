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A Checklist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<sst xmlns="http://schemas.openxmlformats.org/spreadsheetml/2006/main" count="320" uniqueCount="189">
  <si>
    <t xml:space="preserve">#</t>
  </si>
  <si>
    <t xml:space="preserve">Area</t>
  </si>
  <si>
    <t xml:space="preserve">Feature to test</t>
  </si>
  <si>
    <t xml:space="preserve">How to test it</t>
  </si>
  <si>
    <t xml:space="preserve">Status</t>
  </si>
  <si>
    <t xml:space="preserve">Notes / what actually happened</t>
  </si>
  <si>
    <t xml:space="preserve">0. Setup</t>
  </si>
  <si>
    <t xml:space="preserve">Setup</t>
  </si>
  <si>
    <t xml:space="preserve">App runs locally / on Vercel</t>
  </si>
  <si>
    <t xml:space="preserve">Run npm install &amp;&amp; npm run dev (or open the Vercel URL). Page loads with no blank screen or console errors.</t>
  </si>
  <si>
    <t xml:space="preserve">Not tested</t>
  </si>
  <si>
    <t xml:space="preserve">Logo and flyer show correctly</t>
  </si>
  <si>
    <t xml:space="preserve">Sidebar and login/header show the PFFI logo. Colours look black/red/silver, not default blue.</t>
  </si>
  <si>
    <t xml:space="preserve">Works on a phone-sized screen</t>
  </si>
  <si>
    <t xml:space="preserve">Resize browser to ~375px wide, or open on your phone. Sidebar becomes a bottom nav, nothing overlaps or cuts off.</t>
  </si>
  <si>
    <t xml:space="preserve">Connected to real Supabase (not just demo data)</t>
  </si>
  <si>
    <t xml:space="preserve">Set VITE_SUPABASE_URL and VITE_SUPABASE_ANON_KEY in .env, restart, and confirm changes you make actually persist in the Supabase table editor, not just in this browser tab. (Fix round 2 requirement — was failing before.)</t>
  </si>
  <si>
    <t xml:space="preserve">Real login exists (Supabase Auth)</t>
  </si>
  <si>
    <t xml:space="preserve">Log out / open an incognito window. You should see a real login screen requiring an email/password or magic link, not a dropdown that lets you switch role for free. (Fix round 2 requirement — was failing before.)</t>
  </si>
  <si>
    <t xml:space="preserve">1. Dashboard</t>
  </si>
  <si>
    <t xml:space="preserve">Dashboard</t>
  </si>
  <si>
    <t xml:space="preserve">KPI cards show correct numbers</t>
  </si>
  <si>
    <t xml:space="preserve">Compare Active members, This week check-ins, Show-up rate, Revenue this month, Outstanding against what you'd expect from the data you entered.</t>
  </si>
  <si>
    <t xml:space="preserve">Attendance chart (8 weeks)</t>
  </si>
  <si>
    <t xml:space="preserve">Chart shows a bar/line per week. Mark attendance for today and confirm this week's bar updates.</t>
  </si>
  <si>
    <t xml:space="preserve">Revenue chart (6 months)</t>
  </si>
  <si>
    <t xml:space="preserve">Record a payment and confirm the current month's bar/line updates.</t>
  </si>
  <si>
    <t xml:space="preserve">Weekly targets show goal vs current</t>
  </si>
  <si>
    <t xml:space="preserve">Active members / attendance rate / monthly revenue each show a progress bar against a goal. Change a goal in Settings and confirm it updates here.</t>
  </si>
  <si>
    <t xml:space="preserve">Alerts panel: expired memberships</t>
  </si>
  <si>
    <t xml:space="preserve">Set a member's payment expiry to a past date. They should appear in this alert.</t>
  </si>
  <si>
    <t xml:space="preserve">Alerts panel: expiring in 7 days</t>
  </si>
  <si>
    <t xml:space="preserve">Set an expiry date 5 days from now. Member should appear.</t>
  </si>
  <si>
    <t xml:space="preserve">Alerts panel: stopped coming (14+ days)</t>
  </si>
  <si>
    <t xml:space="preserve">Pick a member, don't mark them present for 14+ days. They should appear as 'stopped coming'.</t>
  </si>
  <si>
    <t xml:space="preserve">Alerts panel: equipment needed</t>
  </si>
  <si>
    <t xml:space="preserve">Add an unresolved item in Equipment. It should appear here.</t>
  </si>
  <si>
    <t xml:space="preserve">Quick actions work</t>
  </si>
  <si>
    <t xml:space="preserve">Start today's session / Record payment / Add member / New assessment buttons each open the right screen.</t>
  </si>
  <si>
    <t xml:space="preserve">2. Members</t>
  </si>
  <si>
    <t xml:space="preserve">Members</t>
  </si>
  <si>
    <t xml:space="preserve">Member list loads and searches</t>
  </si>
  <si>
    <t xml:space="preserve">Search by name and filter by status/coach/membership. Results narrow correctly.</t>
  </si>
  <si>
    <t xml:space="preserve">Add member (required fields + consent)</t>
  </si>
  <si>
    <t xml:space="preserve">Try saving without the consent checkbox ticked — it should block you. Tick it and save — member appears in the list.</t>
  </si>
  <si>
    <t xml:space="preserve">Health screening step (optional)</t>
  </si>
  <si>
    <t xml:space="preserve">Add a member with a health condition noted. Confirm it does NOT show anywhere except the admin health tab.</t>
  </si>
  <si>
    <t xml:space="preserve">Member profile — Overview tab</t>
  </si>
  <si>
    <t xml:space="preserve">Open a member. Show-up %, sessions attended, membership expiry all show and look correct.</t>
  </si>
  <si>
    <t xml:space="preserve">Member profile — Attendance tab</t>
  </si>
  <si>
    <t xml:space="preserve">Shows a real history of past sessions for that member, not just this week.</t>
  </si>
  <si>
    <t xml:space="preserve">Member profile — Payments tab</t>
  </si>
  <si>
    <t xml:space="preserve">Shows this member's payment history only.</t>
  </si>
  <si>
    <t xml:space="preserve">Member profile — Assessments tab</t>
  </si>
  <si>
    <t xml:space="preserve">Shows charts for weight/pushups/plank/run time with at least 2 data points.</t>
  </si>
  <si>
    <t xml:space="preserve">Member profile — Health tab (admin only)</t>
  </si>
  <si>
    <t xml:space="preserve">Shows a clear 'sensitive data' banner and is not visible when logged in as a member.</t>
  </si>
  <si>
    <t xml:space="preserve">CSV import — preview &amp; normalize</t>
  </si>
  <si>
    <t xml:space="preserve">Paste a few rows from the old Google Sheet. Preview shows normalized phone numbers (+256...) before you confirm import.</t>
  </si>
  <si>
    <t xml:space="preserve">CSV import — duplicate detection</t>
  </si>
  <si>
    <t xml:space="preserve">Include a row that matches an existing member's name or phone. It should be flagged as a possible duplicate, not silently duplicated.</t>
  </si>
  <si>
    <t xml:space="preserve">3. Attendance</t>
  </si>
  <si>
    <t xml:space="preserve">Attendance</t>
  </si>
  <si>
    <t xml:space="preserve">Start today's session</t>
  </si>
  <si>
    <t xml:space="preserve">Tap 'Start today's session'. A session is created for today with a default time and coach picker.</t>
  </si>
  <si>
    <t xml:space="preserve">Mark present feels instant</t>
  </si>
  <si>
    <t xml:space="preserve">Tap several members present. The counter (e.g. '14 / 17 present') updates immediately, no lag or page reload.</t>
  </si>
  <si>
    <t xml:space="preserve">Walk-in / non-member option</t>
  </si>
  <si>
    <t xml:space="preserve">Try adding someone not on the member list for today's session.</t>
  </si>
  <si>
    <t xml:space="preserve">Past sessions can be corrected</t>
  </si>
  <si>
    <t xml:space="preserve">Open a session from a previous day and change who was marked present. It should save.</t>
  </si>
  <si>
    <t xml:space="preserve">Large touch targets on mobile</t>
  </si>
  <si>
    <t xml:space="preserve">On a phone screen, the present toggle is easy to tap without missing or hitting the wrong member.</t>
  </si>
  <si>
    <t xml:space="preserve">4. Payments</t>
  </si>
  <si>
    <t xml:space="preserve">Payments</t>
  </si>
  <si>
    <t xml:space="preserve">Summary strip is correct</t>
  </si>
  <si>
    <t xml:space="preserve">Collected this month and outstanding count match what you'd expect from your test data.</t>
  </si>
  <si>
    <t xml:space="preserve">Filter by status</t>
  </si>
  <si>
    <t xml:space="preserve">Filter shows Paid / Due soon / Expired / Never paid correctly.</t>
  </si>
  <si>
    <t xml:space="preserve">Record payment — plan prefill</t>
  </si>
  <si>
    <t xml:space="preserve">Pick a plan in the form. Amount and default expiry should prefill from the plan.</t>
  </si>
  <si>
    <t xml:space="preserve">Record payment — expiry override</t>
  </si>
  <si>
    <t xml:space="preserve">Change the prefilled expiry date manually and confirm it saves your override, not the default.</t>
  </si>
  <si>
    <t xml:space="preserve">Method options present</t>
  </si>
  <si>
    <t xml:space="preserve">Cash, MTN MoMo, Airtel Money, Bank transfer, Other are all selectable.</t>
  </si>
  <si>
    <t xml:space="preserve">'Collect online' is visibly disabled</t>
  </si>
  <si>
    <t xml:space="preserve">The online payment option appears but is greyed out / not clickable, with a 'coming soon' style label.</t>
  </si>
  <si>
    <t xml:space="preserve">5. Assessments</t>
  </si>
  <si>
    <t xml:space="preserve">Assessments</t>
  </si>
  <si>
    <t xml:space="preserve">Assessment list shows 'due' status</t>
  </si>
  <si>
    <t xml:space="preserve">A member not assessed in 4+ weeks shows an 'Assessment due' badge.</t>
  </si>
  <si>
    <t xml:space="preserve">New assessment — unit help</t>
  </si>
  <si>
    <t xml:space="preserve">Enter waist in inches using the helper and confirm it converts and stores as cm.</t>
  </si>
  <si>
    <t xml:space="preserve">Run time entered as mm:ss</t>
  </si>
  <si>
    <t xml:space="preserve">Enter e.g. 5:30 and confirm it's stored/read back correctly (as 330 seconds), not misread.</t>
  </si>
  <si>
    <t xml:space="preserve">BMI calculates live</t>
  </si>
  <si>
    <t xml:space="preserve">Enter height and weight; BMI appears immediately without saving first.</t>
  </si>
  <si>
    <t xml:space="preserve">Change since last assessment shown</t>
  </si>
  <si>
    <t xml:space="preserve">After a 2nd assessment for the same member, the form/profile shows the change from their previous one.</t>
  </si>
  <si>
    <t xml:space="preserve">6. Finance</t>
  </si>
  <si>
    <t xml:space="preserve">Finance</t>
  </si>
  <si>
    <t xml:space="preserve">Revenue/expenses/balance cards</t>
  </si>
  <si>
    <t xml:space="preserve">Cards show correct totals for the selected month.</t>
  </si>
  <si>
    <t xml:space="preserve">Ledger includes member payments automatically</t>
  </si>
  <si>
    <t xml:space="preserve">Record a member payment. It should appear in the Finance ledger without being entered twice.</t>
  </si>
  <si>
    <t xml:space="preserve">Add expense / other income</t>
  </si>
  <si>
    <t xml:space="preserve">Add a manual expense. Balance recalculates correctly (revenue minus expenses).</t>
  </si>
  <si>
    <t xml:space="preserve">Member payments not editable here</t>
  </si>
  <si>
    <t xml:space="preserve">Try to edit a member-payment row directly in the Finance ledger — it should not be editable from this screen.</t>
  </si>
  <si>
    <t xml:space="preserve">7. Coaches</t>
  </si>
  <si>
    <t xml:space="preserve">Coaches</t>
  </si>
  <si>
    <t xml:space="preserve">Add / list coaches</t>
  </si>
  <si>
    <t xml:space="preserve">Add a coach, confirm they appear in the coach picker on Attendance and Members.</t>
  </si>
  <si>
    <t xml:space="preserve">Review form (4 ratings + notes)</t>
  </si>
  <si>
    <t xml:space="preserve">Submit a review with all 4 ratings. Coach's average updates.</t>
  </si>
  <si>
    <t xml:space="preserve">8. Content tracker</t>
  </si>
  <si>
    <t xml:space="preserve">Content tracker</t>
  </si>
  <si>
    <t xml:space="preserve">Add a content entry</t>
  </si>
  <si>
    <t xml:space="preserve">Add a post with date, platform, type, posted toggle. It saves and lists correctly.</t>
  </si>
  <si>
    <t xml:space="preserve">9. Equipment</t>
  </si>
  <si>
    <t xml:space="preserve">Equipment</t>
  </si>
  <si>
    <t xml:space="preserve">Add / resolve equipment item</t>
  </si>
  <si>
    <t xml:space="preserve">Add an item, confirm it shows unresolved on the Dashboard alert. Mark resolved and confirm the alert clears.</t>
  </si>
  <si>
    <t xml:space="preserve">10. Settings</t>
  </si>
  <si>
    <t xml:space="preserve">Settings</t>
  </si>
  <si>
    <t xml:space="preserve">Edit weekly targets</t>
  </si>
  <si>
    <t xml:space="preserve">Change a target goal and confirm the Dashboard progress bar reflects it.</t>
  </si>
  <si>
    <t xml:space="preserve">Manage plans (price/duration)</t>
  </si>
  <si>
    <t xml:space="preserve">Add or edit a plan and confirm it's selectable when recording a payment.</t>
  </si>
  <si>
    <t xml:space="preserve">Export members CSV</t>
  </si>
  <si>
    <t xml:space="preserve">Export and open the file — data is complete and phone numbers look correct.</t>
  </si>
  <si>
    <t xml:space="preserve">Payments section shows 'not connected'</t>
  </si>
  <si>
    <t xml:space="preserve">Settings clearly states online payments aren't connected yet.</t>
  </si>
  <si>
    <t xml:space="preserve">11. Member portal</t>
  </si>
  <si>
    <t xml:space="preserve">Member portal</t>
  </si>
  <si>
    <t xml:space="preserve">Member sees only their own data</t>
  </si>
  <si>
    <t xml:space="preserve">Log in (or switch role) as a member. Confirm you cannot see other members' names, payments, or attendance anywhere.</t>
  </si>
  <si>
    <t xml:space="preserve">Home — membership card &amp; show-up ring</t>
  </si>
  <si>
    <t xml:space="preserve">Status, expiry, days left, and show-up rate all display and match the admin view for that member.</t>
  </si>
  <si>
    <t xml:space="preserve">Progress — assessment charts</t>
  </si>
  <si>
    <t xml:space="preserve">Charts show this member's own history with change since baseline.</t>
  </si>
  <si>
    <t xml:space="preserve">Payments — balance due</t>
  </si>
  <si>
    <t xml:space="preserve">Balance due is correct (0 if paid up, plan price if expired/never paid).</t>
  </si>
  <si>
    <t xml:space="preserve">'Pay online' visibly disabled</t>
  </si>
  <si>
    <t xml:space="preserve">Same disabled treatment as the admin side.</t>
  </si>
  <si>
    <t xml:space="preserve">No access to finance / coach reviews / health data</t>
  </si>
  <si>
    <t xml:space="preserve">Confirm none of these appear anywhere in the member portal, even by URL guessing.</t>
  </si>
  <si>
    <t xml:space="preserve">12. Access &amp; roles (fix round 2)</t>
  </si>
  <si>
    <t xml:space="preserve">Access &amp; roles (fix round 2)</t>
  </si>
  <si>
    <t xml:space="preserve">Deactivate a member</t>
  </si>
  <si>
    <t xml:space="preserve">Open a member profile, choose 'Deactivate member', confirm. Member disappears from active lists, attendance session lists, and dashboard alerts, but their history (payments, attendance, assessments) is still visible on their profile.</t>
  </si>
  <si>
    <t xml:space="preserve">Deactivated member excluded from active count</t>
  </si>
  <si>
    <t xml:space="preserve">Check the Dashboard 'Active members' KPI drops by 1 after deactivating someone.</t>
  </si>
  <si>
    <t xml:space="preserve">Show inactive / reactivate</t>
  </si>
  <si>
    <t xml:space="preserve">Toggle 'Show inactive' on the Members list, find the deactivated member, reactivate them. They reappear in active lists.</t>
  </si>
  <si>
    <t xml:space="preserve">Permanently delete (admin only, hard-gated)</t>
  </si>
  <si>
    <t xml:space="preserve">Try the permanent-delete option. It should require typing the member's name to confirm, and warn that history is also erased.</t>
  </si>
  <si>
    <t xml:space="preserve">Invite a member to the portal</t>
  </si>
  <si>
    <t xml:space="preserve">On a member profile with no portal access yet, click 'Invite to portal', enter their email. Confirm an account is created and linked to that member record (clients.user_id set).</t>
  </si>
  <si>
    <t xml:space="preserve">Invited member can log in and sees only their own data</t>
  </si>
  <si>
    <t xml:space="preserve">Using the invite link/credentials, log in as that member. Confirm you land in the member portal (not the admin dashboard) and see only that member's own profile, payments, attendance, and assessments.</t>
  </si>
  <si>
    <t xml:space="preserve">Revoke a member's portal access</t>
  </si>
  <si>
    <t xml:space="preserve">From the member profile, revoke access. Confirm they can no longer log in, but their member record and history remain intact.</t>
  </si>
  <si>
    <t xml:space="preserve">Invite a coach</t>
  </si>
  <si>
    <t xml:space="preserve">On a coach record, invite them the same way. Log in as that coach and confirm they see only their own assigned clients (attendance/profile), not other coaches' clients, payments, finance, or coach reviews.</t>
  </si>
  <si>
    <t xml:space="preserve">12. Security &amp; privacy</t>
  </si>
  <si>
    <t xml:space="preserve">Security &amp; privacy</t>
  </si>
  <si>
    <t xml:space="preserve">RLS actually enforced (not just hidden in UI)</t>
  </si>
  <si>
    <t xml:space="preserve">As a member, try querying another member's data directly via the Supabase API/browser dev tools (or ask your dev to test this). It must be blocked at the database level, not just hidden by the UI.</t>
  </si>
  <si>
    <t xml:space="preserve">Health data excluded from exports</t>
  </si>
  <si>
    <t xml:space="preserve">Export members CSV and any 'share progress' card. Confirm no health/medical info appears.</t>
  </si>
  <si>
    <t xml:space="preserve">Consent required before saving a member</t>
  </si>
  <si>
    <t xml:space="preserve">Already covered in Members section above — retest here if skipped.</t>
  </si>
  <si>
    <t xml:space="preserve">13. Overall build quality</t>
  </si>
  <si>
    <t xml:space="preserve">Overall build quality</t>
  </si>
  <si>
    <t xml:space="preserve">No dead/placeholder screens</t>
  </si>
  <si>
    <t xml:space="preserve">Every nav item leads to a working screen, not a blank page or 'coming soon' where real functionality was expected.</t>
  </si>
  <si>
    <t xml:space="preserve">Loading / empty / error states</t>
  </si>
  <si>
    <t xml:space="preserve">Turn off wifi briefly, or view a section with zero data. It should show a sensible message, not a crash or infinite spinner.</t>
  </si>
  <si>
    <t xml:space="preserve">README with setup steps</t>
  </si>
  <si>
    <t xml:space="preserve">A README explains how to run the project and set up Supabase from scratch.</t>
  </si>
  <si>
    <t xml:space="preserve">DECISIONS.md matches what was actually built</t>
  </si>
  <si>
    <t xml:space="preserve">Spot-check a few claims in DECISIONS.md against the real app behaviour above.</t>
  </si>
  <si>
    <t xml:space="preserve">PFFI Member Tracker — QA Summary</t>
  </si>
  <si>
    <t xml:space="preserve">Total items</t>
  </si>
  <si>
    <t xml:space="preserve">Pass</t>
  </si>
  <si>
    <t xml:space="preserve">Fail</t>
  </si>
  <si>
    <t xml:space="preserve">Partial</t>
  </si>
  <si>
    <t xml:space="preserve">Blocked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</si>
</sst>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A0B10"/>
        <bgColor rgb="FF000000"/>
      </patternFill>
    </fill>
    <fill>
      <patternFill patternType="solid">
        <fgColor rgb="FFDA0E19"/>
        <bgColor rgb="FF993300"/>
      </patternFill>
    </fill>
    <fill>
      <patternFill patternType="solid">
        <fgColor rgb="FFF2F2F2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/>
      <right/>
      <top style="thin">
        <color rgb="FFD9D9D9"/>
      </top>
      <bottom style="thin">
        <color rgb="FFD9D9D9"/>
      </bottom>
      <diagonal/>
    </border>
    <border diagonalUp="false" diagonalDown="false"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A0E19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A0B1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6"/>
    <col collapsed="false" customWidth="true" hidden="false" outlineLevel="0" max="3" min="3" style="1" width="34"/>
    <col collapsed="false" customWidth="true" hidden="false" outlineLevel="0" max="4" min="4" style="1" width="46"/>
    <col collapsed="false" customWidth="true" hidden="false" outlineLevel="0" max="5" min="5" style="1" width="14"/>
    <col collapsed="false" customWidth="true" hidden="false" outlineLevel="0" max="6" min="6" style="1" width="40"/>
  </cols>
  <sheetData>
    <row r="1" customFormat="false" ht="31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5" hidden="false" customHeight="true" outlineLevel="0" collapsed="false">
      <c r="A2" s="3"/>
      <c r="B2" s="4" t="s">
        <v>6</v>
      </c>
      <c r="C2" s="4"/>
      <c r="D2" s="4"/>
      <c r="E2" s="4"/>
      <c r="F2" s="4"/>
    </row>
    <row r="3" customFormat="false" ht="15" hidden="false" customHeight="true" outlineLevel="0" collapsed="false">
      <c r="A3" s="5" t="n">
        <v>1</v>
      </c>
      <c r="B3" s="6" t="s">
        <v>7</v>
      </c>
      <c r="C3" s="6" t="s">
        <v>8</v>
      </c>
      <c r="D3" s="6" t="s">
        <v>9</v>
      </c>
      <c r="E3" s="5" t="s">
        <v>10</v>
      </c>
      <c r="F3" s="6"/>
    </row>
    <row r="4" customFormat="false" ht="15" hidden="false" customHeight="true" outlineLevel="0" collapsed="false">
      <c r="A4" s="7" t="n">
        <v>2</v>
      </c>
      <c r="B4" s="8" t="s">
        <v>7</v>
      </c>
      <c r="C4" s="8" t="s">
        <v>11</v>
      </c>
      <c r="D4" s="8" t="s">
        <v>12</v>
      </c>
      <c r="E4" s="7" t="s">
        <v>10</v>
      </c>
      <c r="F4" s="8"/>
    </row>
    <row r="5" customFormat="false" ht="15" hidden="false" customHeight="true" outlineLevel="0" collapsed="false">
      <c r="A5" s="5" t="n">
        <v>3</v>
      </c>
      <c r="B5" s="6" t="s">
        <v>7</v>
      </c>
      <c r="C5" s="6" t="s">
        <v>13</v>
      </c>
      <c r="D5" s="6" t="s">
        <v>14</v>
      </c>
      <c r="E5" s="5" t="s">
        <v>10</v>
      </c>
      <c r="F5" s="6"/>
    </row>
    <row r="6" customFormat="false" ht="15" hidden="false" customHeight="true" outlineLevel="0" collapsed="false">
      <c r="A6" s="7" t="n">
        <v>4</v>
      </c>
      <c r="B6" s="8" t="s">
        <v>7</v>
      </c>
      <c r="C6" s="8" t="s">
        <v>15</v>
      </c>
      <c r="D6" s="8" t="s">
        <v>16</v>
      </c>
      <c r="E6" s="7" t="s">
        <v>10</v>
      </c>
      <c r="F6" s="8"/>
    </row>
    <row r="7" customFormat="false" ht="15" hidden="false" customHeight="true" outlineLevel="0" collapsed="false">
      <c r="A7" s="5" t="n">
        <v>5</v>
      </c>
      <c r="B7" s="6" t="s">
        <v>7</v>
      </c>
      <c r="C7" s="6" t="s">
        <v>17</v>
      </c>
      <c r="D7" s="6" t="s">
        <v>18</v>
      </c>
      <c r="E7" s="5" t="s">
        <v>10</v>
      </c>
      <c r="F7" s="6"/>
    </row>
    <row r="8" customFormat="false" ht="15" hidden="false" customHeight="true" outlineLevel="0" collapsed="false">
      <c r="A8" s="3"/>
      <c r="B8" s="4" t="s">
        <v>19</v>
      </c>
      <c r="C8" s="4"/>
      <c r="D8" s="4"/>
      <c r="E8" s="4"/>
      <c r="F8" s="4"/>
    </row>
    <row r="9" customFormat="false" ht="15" hidden="false" customHeight="true" outlineLevel="0" collapsed="false">
      <c r="A9" s="7" t="n">
        <v>6</v>
      </c>
      <c r="B9" s="8" t="s">
        <v>20</v>
      </c>
      <c r="C9" s="8" t="s">
        <v>21</v>
      </c>
      <c r="D9" s="8" t="s">
        <v>22</v>
      </c>
      <c r="E9" s="7" t="s">
        <v>10</v>
      </c>
      <c r="F9" s="8"/>
    </row>
    <row r="10" customFormat="false" ht="15" hidden="false" customHeight="true" outlineLevel="0" collapsed="false">
      <c r="A10" s="5" t="n">
        <v>7</v>
      </c>
      <c r="B10" s="6" t="s">
        <v>20</v>
      </c>
      <c r="C10" s="6" t="s">
        <v>23</v>
      </c>
      <c r="D10" s="6" t="s">
        <v>24</v>
      </c>
      <c r="E10" s="5" t="s">
        <v>10</v>
      </c>
      <c r="F10" s="6"/>
    </row>
    <row r="11" customFormat="false" ht="15" hidden="false" customHeight="true" outlineLevel="0" collapsed="false">
      <c r="A11" s="7" t="n">
        <v>8</v>
      </c>
      <c r="B11" s="8" t="s">
        <v>20</v>
      </c>
      <c r="C11" s="8" t="s">
        <v>25</v>
      </c>
      <c r="D11" s="8" t="s">
        <v>26</v>
      </c>
      <c r="E11" s="7" t="s">
        <v>10</v>
      </c>
      <c r="F11" s="8"/>
    </row>
    <row r="12" customFormat="false" ht="15" hidden="false" customHeight="true" outlineLevel="0" collapsed="false">
      <c r="A12" s="5" t="n">
        <v>9</v>
      </c>
      <c r="B12" s="6" t="s">
        <v>20</v>
      </c>
      <c r="C12" s="6" t="s">
        <v>27</v>
      </c>
      <c r="D12" s="6" t="s">
        <v>28</v>
      </c>
      <c r="E12" s="5" t="s">
        <v>10</v>
      </c>
      <c r="F12" s="6"/>
    </row>
    <row r="13" customFormat="false" ht="15" hidden="false" customHeight="true" outlineLevel="0" collapsed="false">
      <c r="A13" s="7" t="n">
        <v>10</v>
      </c>
      <c r="B13" s="8" t="s">
        <v>20</v>
      </c>
      <c r="C13" s="8" t="s">
        <v>29</v>
      </c>
      <c r="D13" s="8" t="s">
        <v>30</v>
      </c>
      <c r="E13" s="7" t="s">
        <v>10</v>
      </c>
      <c r="F13" s="8"/>
    </row>
    <row r="14" customFormat="false" ht="15" hidden="false" customHeight="true" outlineLevel="0" collapsed="false">
      <c r="A14" s="5" t="n">
        <v>11</v>
      </c>
      <c r="B14" s="6" t="s">
        <v>20</v>
      </c>
      <c r="C14" s="6" t="s">
        <v>31</v>
      </c>
      <c r="D14" s="6" t="s">
        <v>32</v>
      </c>
      <c r="E14" s="5" t="s">
        <v>10</v>
      </c>
      <c r="F14" s="6"/>
    </row>
    <row r="15" customFormat="false" ht="15" hidden="false" customHeight="true" outlineLevel="0" collapsed="false">
      <c r="A15" s="7" t="n">
        <v>12</v>
      </c>
      <c r="B15" s="8" t="s">
        <v>20</v>
      </c>
      <c r="C15" s="8" t="s">
        <v>33</v>
      </c>
      <c r="D15" s="8" t="s">
        <v>34</v>
      </c>
      <c r="E15" s="7" t="s">
        <v>10</v>
      </c>
      <c r="F15" s="8"/>
    </row>
    <row r="16" customFormat="false" ht="15" hidden="false" customHeight="true" outlineLevel="0" collapsed="false">
      <c r="A16" s="5" t="n">
        <v>13</v>
      </c>
      <c r="B16" s="6" t="s">
        <v>20</v>
      </c>
      <c r="C16" s="6" t="s">
        <v>35</v>
      </c>
      <c r="D16" s="6" t="s">
        <v>36</v>
      </c>
      <c r="E16" s="5" t="s">
        <v>10</v>
      </c>
      <c r="F16" s="6"/>
    </row>
    <row r="17" customFormat="false" ht="15" hidden="false" customHeight="true" outlineLevel="0" collapsed="false">
      <c r="A17" s="7" t="n">
        <v>14</v>
      </c>
      <c r="B17" s="8" t="s">
        <v>20</v>
      </c>
      <c r="C17" s="8" t="s">
        <v>37</v>
      </c>
      <c r="D17" s="8" t="s">
        <v>38</v>
      </c>
      <c r="E17" s="7" t="s">
        <v>10</v>
      </c>
      <c r="F17" s="8"/>
    </row>
    <row r="18" customFormat="false" ht="15" hidden="false" customHeight="true" outlineLevel="0" collapsed="false">
      <c r="A18" s="3"/>
      <c r="B18" s="4" t="s">
        <v>39</v>
      </c>
      <c r="C18" s="4"/>
      <c r="D18" s="4"/>
      <c r="E18" s="4"/>
      <c r="F18" s="4"/>
    </row>
    <row r="19" customFormat="false" ht="15" hidden="false" customHeight="true" outlineLevel="0" collapsed="false">
      <c r="A19" s="5" t="n">
        <v>15</v>
      </c>
      <c r="B19" s="6" t="s">
        <v>40</v>
      </c>
      <c r="C19" s="6" t="s">
        <v>41</v>
      </c>
      <c r="D19" s="6" t="s">
        <v>42</v>
      </c>
      <c r="E19" s="5" t="s">
        <v>10</v>
      </c>
      <c r="F19" s="6"/>
    </row>
    <row r="20" customFormat="false" ht="15" hidden="false" customHeight="true" outlineLevel="0" collapsed="false">
      <c r="A20" s="7" t="n">
        <v>16</v>
      </c>
      <c r="B20" s="8" t="s">
        <v>40</v>
      </c>
      <c r="C20" s="8" t="s">
        <v>43</v>
      </c>
      <c r="D20" s="8" t="s">
        <v>44</v>
      </c>
      <c r="E20" s="7" t="s">
        <v>10</v>
      </c>
      <c r="F20" s="8"/>
    </row>
    <row r="21" customFormat="false" ht="15" hidden="false" customHeight="true" outlineLevel="0" collapsed="false">
      <c r="A21" s="5" t="n">
        <v>17</v>
      </c>
      <c r="B21" s="6" t="s">
        <v>40</v>
      </c>
      <c r="C21" s="6" t="s">
        <v>45</v>
      </c>
      <c r="D21" s="6" t="s">
        <v>46</v>
      </c>
      <c r="E21" s="5" t="s">
        <v>10</v>
      </c>
      <c r="F21" s="6"/>
    </row>
    <row r="22" customFormat="false" ht="15" hidden="false" customHeight="true" outlineLevel="0" collapsed="false">
      <c r="A22" s="7" t="n">
        <v>18</v>
      </c>
      <c r="B22" s="8" t="s">
        <v>40</v>
      </c>
      <c r="C22" s="8" t="s">
        <v>47</v>
      </c>
      <c r="D22" s="8" t="s">
        <v>48</v>
      </c>
      <c r="E22" s="7" t="s">
        <v>10</v>
      </c>
      <c r="F22" s="8"/>
    </row>
    <row r="23" customFormat="false" ht="15" hidden="false" customHeight="true" outlineLevel="0" collapsed="false">
      <c r="A23" s="5" t="n">
        <v>19</v>
      </c>
      <c r="B23" s="6" t="s">
        <v>40</v>
      </c>
      <c r="C23" s="6" t="s">
        <v>49</v>
      </c>
      <c r="D23" s="6" t="s">
        <v>50</v>
      </c>
      <c r="E23" s="5" t="s">
        <v>10</v>
      </c>
      <c r="F23" s="6"/>
    </row>
    <row r="24" customFormat="false" ht="15" hidden="false" customHeight="true" outlineLevel="0" collapsed="false">
      <c r="A24" s="7" t="n">
        <v>20</v>
      </c>
      <c r="B24" s="8" t="s">
        <v>40</v>
      </c>
      <c r="C24" s="8" t="s">
        <v>51</v>
      </c>
      <c r="D24" s="8" t="s">
        <v>52</v>
      </c>
      <c r="E24" s="7" t="s">
        <v>10</v>
      </c>
      <c r="F24" s="8"/>
    </row>
    <row r="25" customFormat="false" ht="15" hidden="false" customHeight="true" outlineLevel="0" collapsed="false">
      <c r="A25" s="5" t="n">
        <v>21</v>
      </c>
      <c r="B25" s="6" t="s">
        <v>40</v>
      </c>
      <c r="C25" s="6" t="s">
        <v>53</v>
      </c>
      <c r="D25" s="6" t="s">
        <v>54</v>
      </c>
      <c r="E25" s="5" t="s">
        <v>10</v>
      </c>
      <c r="F25" s="6"/>
    </row>
    <row r="26" customFormat="false" ht="15" hidden="false" customHeight="true" outlineLevel="0" collapsed="false">
      <c r="A26" s="7" t="n">
        <v>22</v>
      </c>
      <c r="B26" s="8" t="s">
        <v>40</v>
      </c>
      <c r="C26" s="8" t="s">
        <v>55</v>
      </c>
      <c r="D26" s="8" t="s">
        <v>56</v>
      </c>
      <c r="E26" s="7" t="s">
        <v>10</v>
      </c>
      <c r="F26" s="8"/>
    </row>
    <row r="27" customFormat="false" ht="15" hidden="false" customHeight="true" outlineLevel="0" collapsed="false">
      <c r="A27" s="5" t="n">
        <v>23</v>
      </c>
      <c r="B27" s="6" t="s">
        <v>40</v>
      </c>
      <c r="C27" s="6" t="s">
        <v>57</v>
      </c>
      <c r="D27" s="6" t="s">
        <v>58</v>
      </c>
      <c r="E27" s="5" t="s">
        <v>10</v>
      </c>
      <c r="F27" s="6"/>
    </row>
    <row r="28" customFormat="false" ht="15" hidden="false" customHeight="true" outlineLevel="0" collapsed="false">
      <c r="A28" s="7" t="n">
        <v>24</v>
      </c>
      <c r="B28" s="8" t="s">
        <v>40</v>
      </c>
      <c r="C28" s="8" t="s">
        <v>59</v>
      </c>
      <c r="D28" s="8" t="s">
        <v>60</v>
      </c>
      <c r="E28" s="7" t="s">
        <v>10</v>
      </c>
      <c r="F28" s="8"/>
    </row>
    <row r="29" customFormat="false" ht="15" hidden="false" customHeight="true" outlineLevel="0" collapsed="false">
      <c r="A29" s="3"/>
      <c r="B29" s="4" t="s">
        <v>61</v>
      </c>
      <c r="C29" s="4"/>
      <c r="D29" s="4"/>
      <c r="E29" s="4"/>
      <c r="F29" s="4"/>
    </row>
    <row r="30" customFormat="false" ht="15" hidden="false" customHeight="true" outlineLevel="0" collapsed="false">
      <c r="A30" s="5" t="n">
        <v>25</v>
      </c>
      <c r="B30" s="6" t="s">
        <v>62</v>
      </c>
      <c r="C30" s="6" t="s">
        <v>63</v>
      </c>
      <c r="D30" s="6" t="s">
        <v>64</v>
      </c>
      <c r="E30" s="5" t="s">
        <v>10</v>
      </c>
      <c r="F30" s="6"/>
    </row>
    <row r="31" customFormat="false" ht="15" hidden="false" customHeight="true" outlineLevel="0" collapsed="false">
      <c r="A31" s="7" t="n">
        <v>26</v>
      </c>
      <c r="B31" s="8" t="s">
        <v>62</v>
      </c>
      <c r="C31" s="8" t="s">
        <v>65</v>
      </c>
      <c r="D31" s="8" t="s">
        <v>66</v>
      </c>
      <c r="E31" s="7" t="s">
        <v>10</v>
      </c>
      <c r="F31" s="8"/>
    </row>
    <row r="32" customFormat="false" ht="15" hidden="false" customHeight="true" outlineLevel="0" collapsed="false">
      <c r="A32" s="5" t="n">
        <v>27</v>
      </c>
      <c r="B32" s="6" t="s">
        <v>62</v>
      </c>
      <c r="C32" s="6" t="s">
        <v>67</v>
      </c>
      <c r="D32" s="6" t="s">
        <v>68</v>
      </c>
      <c r="E32" s="5" t="s">
        <v>10</v>
      </c>
      <c r="F32" s="6"/>
    </row>
    <row r="33" customFormat="false" ht="15" hidden="false" customHeight="true" outlineLevel="0" collapsed="false">
      <c r="A33" s="7" t="n">
        <v>28</v>
      </c>
      <c r="B33" s="8" t="s">
        <v>62</v>
      </c>
      <c r="C33" s="8" t="s">
        <v>69</v>
      </c>
      <c r="D33" s="8" t="s">
        <v>70</v>
      </c>
      <c r="E33" s="7" t="s">
        <v>10</v>
      </c>
      <c r="F33" s="8"/>
    </row>
    <row r="34" customFormat="false" ht="15" hidden="false" customHeight="true" outlineLevel="0" collapsed="false">
      <c r="A34" s="5" t="n">
        <v>29</v>
      </c>
      <c r="B34" s="6" t="s">
        <v>62</v>
      </c>
      <c r="C34" s="6" t="s">
        <v>71</v>
      </c>
      <c r="D34" s="6" t="s">
        <v>72</v>
      </c>
      <c r="E34" s="5" t="s">
        <v>10</v>
      </c>
      <c r="F34" s="6"/>
    </row>
    <row r="35" customFormat="false" ht="15" hidden="false" customHeight="true" outlineLevel="0" collapsed="false">
      <c r="A35" s="3"/>
      <c r="B35" s="4" t="s">
        <v>73</v>
      </c>
      <c r="C35" s="4"/>
      <c r="D35" s="4"/>
      <c r="E35" s="4"/>
      <c r="F35" s="4"/>
    </row>
    <row r="36" customFormat="false" ht="15" hidden="false" customHeight="true" outlineLevel="0" collapsed="false">
      <c r="A36" s="7" t="n">
        <v>30</v>
      </c>
      <c r="B36" s="8" t="s">
        <v>74</v>
      </c>
      <c r="C36" s="8" t="s">
        <v>75</v>
      </c>
      <c r="D36" s="8" t="s">
        <v>76</v>
      </c>
      <c r="E36" s="7" t="s">
        <v>10</v>
      </c>
      <c r="F36" s="8"/>
    </row>
    <row r="37" customFormat="false" ht="15" hidden="false" customHeight="true" outlineLevel="0" collapsed="false">
      <c r="A37" s="5" t="n">
        <v>31</v>
      </c>
      <c r="B37" s="6" t="s">
        <v>74</v>
      </c>
      <c r="C37" s="6" t="s">
        <v>77</v>
      </c>
      <c r="D37" s="6" t="s">
        <v>78</v>
      </c>
      <c r="E37" s="5" t="s">
        <v>10</v>
      </c>
      <c r="F37" s="6"/>
    </row>
    <row r="38" customFormat="false" ht="15" hidden="false" customHeight="true" outlineLevel="0" collapsed="false">
      <c r="A38" s="7" t="n">
        <v>32</v>
      </c>
      <c r="B38" s="8" t="s">
        <v>74</v>
      </c>
      <c r="C38" s="8" t="s">
        <v>79</v>
      </c>
      <c r="D38" s="8" t="s">
        <v>80</v>
      </c>
      <c r="E38" s="7" t="s">
        <v>10</v>
      </c>
      <c r="F38" s="8"/>
    </row>
    <row r="39" customFormat="false" ht="15" hidden="false" customHeight="true" outlineLevel="0" collapsed="false">
      <c r="A39" s="5" t="n">
        <v>33</v>
      </c>
      <c r="B39" s="6" t="s">
        <v>74</v>
      </c>
      <c r="C39" s="6" t="s">
        <v>81</v>
      </c>
      <c r="D39" s="6" t="s">
        <v>82</v>
      </c>
      <c r="E39" s="5" t="s">
        <v>10</v>
      </c>
      <c r="F39" s="6"/>
    </row>
    <row r="40" customFormat="false" ht="15" hidden="false" customHeight="true" outlineLevel="0" collapsed="false">
      <c r="A40" s="7" t="n">
        <v>34</v>
      </c>
      <c r="B40" s="8" t="s">
        <v>74</v>
      </c>
      <c r="C40" s="8" t="s">
        <v>83</v>
      </c>
      <c r="D40" s="8" t="s">
        <v>84</v>
      </c>
      <c r="E40" s="7" t="s">
        <v>10</v>
      </c>
      <c r="F40" s="8"/>
    </row>
    <row r="41" customFormat="false" ht="15" hidden="false" customHeight="true" outlineLevel="0" collapsed="false">
      <c r="A41" s="5" t="n">
        <v>35</v>
      </c>
      <c r="B41" s="6" t="s">
        <v>74</v>
      </c>
      <c r="C41" s="6" t="s">
        <v>85</v>
      </c>
      <c r="D41" s="6" t="s">
        <v>86</v>
      </c>
      <c r="E41" s="5" t="s">
        <v>10</v>
      </c>
      <c r="F41" s="6"/>
    </row>
    <row r="42" customFormat="false" ht="15" hidden="false" customHeight="true" outlineLevel="0" collapsed="false">
      <c r="A42" s="3"/>
      <c r="B42" s="4" t="s">
        <v>87</v>
      </c>
      <c r="C42" s="4"/>
      <c r="D42" s="4"/>
      <c r="E42" s="4"/>
      <c r="F42" s="4"/>
    </row>
    <row r="43" customFormat="false" ht="15" hidden="false" customHeight="true" outlineLevel="0" collapsed="false">
      <c r="A43" s="7" t="n">
        <v>36</v>
      </c>
      <c r="B43" s="8" t="s">
        <v>88</v>
      </c>
      <c r="C43" s="8" t="s">
        <v>89</v>
      </c>
      <c r="D43" s="8" t="s">
        <v>90</v>
      </c>
      <c r="E43" s="7" t="s">
        <v>10</v>
      </c>
      <c r="F43" s="8"/>
    </row>
    <row r="44" customFormat="false" ht="15" hidden="false" customHeight="true" outlineLevel="0" collapsed="false">
      <c r="A44" s="5" t="n">
        <v>37</v>
      </c>
      <c r="B44" s="6" t="s">
        <v>88</v>
      </c>
      <c r="C44" s="6" t="s">
        <v>91</v>
      </c>
      <c r="D44" s="6" t="s">
        <v>92</v>
      </c>
      <c r="E44" s="5" t="s">
        <v>10</v>
      </c>
      <c r="F44" s="6"/>
    </row>
    <row r="45" customFormat="false" ht="15" hidden="false" customHeight="true" outlineLevel="0" collapsed="false">
      <c r="A45" s="7" t="n">
        <v>38</v>
      </c>
      <c r="B45" s="8" t="s">
        <v>88</v>
      </c>
      <c r="C45" s="8" t="s">
        <v>93</v>
      </c>
      <c r="D45" s="8" t="s">
        <v>94</v>
      </c>
      <c r="E45" s="7" t="s">
        <v>10</v>
      </c>
      <c r="F45" s="8"/>
    </row>
    <row r="46" customFormat="false" ht="15" hidden="false" customHeight="true" outlineLevel="0" collapsed="false">
      <c r="A46" s="5" t="n">
        <v>39</v>
      </c>
      <c r="B46" s="6" t="s">
        <v>88</v>
      </c>
      <c r="C46" s="6" t="s">
        <v>95</v>
      </c>
      <c r="D46" s="6" t="s">
        <v>96</v>
      </c>
      <c r="E46" s="5" t="s">
        <v>10</v>
      </c>
      <c r="F46" s="6"/>
    </row>
    <row r="47" customFormat="false" ht="15" hidden="false" customHeight="true" outlineLevel="0" collapsed="false">
      <c r="A47" s="7" t="n">
        <v>40</v>
      </c>
      <c r="B47" s="8" t="s">
        <v>88</v>
      </c>
      <c r="C47" s="8" t="s">
        <v>97</v>
      </c>
      <c r="D47" s="8" t="s">
        <v>98</v>
      </c>
      <c r="E47" s="7" t="s">
        <v>10</v>
      </c>
      <c r="F47" s="8"/>
    </row>
    <row r="48" customFormat="false" ht="15" hidden="false" customHeight="true" outlineLevel="0" collapsed="false">
      <c r="A48" s="3"/>
      <c r="B48" s="4" t="s">
        <v>99</v>
      </c>
      <c r="C48" s="4"/>
      <c r="D48" s="4"/>
      <c r="E48" s="4"/>
      <c r="F48" s="4"/>
    </row>
    <row r="49" customFormat="false" ht="15" hidden="false" customHeight="true" outlineLevel="0" collapsed="false">
      <c r="A49" s="5" t="n">
        <v>41</v>
      </c>
      <c r="B49" s="6" t="s">
        <v>100</v>
      </c>
      <c r="C49" s="6" t="s">
        <v>101</v>
      </c>
      <c r="D49" s="6" t="s">
        <v>102</v>
      </c>
      <c r="E49" s="5" t="s">
        <v>10</v>
      </c>
      <c r="F49" s="6"/>
    </row>
    <row r="50" customFormat="false" ht="15" hidden="false" customHeight="true" outlineLevel="0" collapsed="false">
      <c r="A50" s="7" t="n">
        <v>42</v>
      </c>
      <c r="B50" s="8" t="s">
        <v>100</v>
      </c>
      <c r="C50" s="8" t="s">
        <v>103</v>
      </c>
      <c r="D50" s="8" t="s">
        <v>104</v>
      </c>
      <c r="E50" s="7" t="s">
        <v>10</v>
      </c>
      <c r="F50" s="8"/>
    </row>
    <row r="51" customFormat="false" ht="15" hidden="false" customHeight="true" outlineLevel="0" collapsed="false">
      <c r="A51" s="5" t="n">
        <v>43</v>
      </c>
      <c r="B51" s="6" t="s">
        <v>100</v>
      </c>
      <c r="C51" s="6" t="s">
        <v>105</v>
      </c>
      <c r="D51" s="6" t="s">
        <v>106</v>
      </c>
      <c r="E51" s="5" t="s">
        <v>10</v>
      </c>
      <c r="F51" s="6"/>
    </row>
    <row r="52" customFormat="false" ht="15" hidden="false" customHeight="true" outlineLevel="0" collapsed="false">
      <c r="A52" s="7" t="n">
        <v>44</v>
      </c>
      <c r="B52" s="8" t="s">
        <v>100</v>
      </c>
      <c r="C52" s="8" t="s">
        <v>107</v>
      </c>
      <c r="D52" s="8" t="s">
        <v>108</v>
      </c>
      <c r="E52" s="7" t="s">
        <v>10</v>
      </c>
      <c r="F52" s="8"/>
    </row>
    <row r="53" customFormat="false" ht="15" hidden="false" customHeight="true" outlineLevel="0" collapsed="false">
      <c r="A53" s="3"/>
      <c r="B53" s="4" t="s">
        <v>109</v>
      </c>
      <c r="C53" s="4"/>
      <c r="D53" s="4"/>
      <c r="E53" s="4"/>
      <c r="F53" s="4"/>
    </row>
    <row r="54" customFormat="false" ht="15" hidden="false" customHeight="true" outlineLevel="0" collapsed="false">
      <c r="A54" s="5" t="n">
        <v>45</v>
      </c>
      <c r="B54" s="6" t="s">
        <v>110</v>
      </c>
      <c r="C54" s="6" t="s">
        <v>111</v>
      </c>
      <c r="D54" s="6" t="s">
        <v>112</v>
      </c>
      <c r="E54" s="5" t="s">
        <v>10</v>
      </c>
      <c r="F54" s="6"/>
    </row>
    <row r="55" customFormat="false" ht="15" hidden="false" customHeight="true" outlineLevel="0" collapsed="false">
      <c r="A55" s="7" t="n">
        <v>46</v>
      </c>
      <c r="B55" s="8" t="s">
        <v>110</v>
      </c>
      <c r="C55" s="8" t="s">
        <v>113</v>
      </c>
      <c r="D55" s="8" t="s">
        <v>114</v>
      </c>
      <c r="E55" s="7" t="s">
        <v>10</v>
      </c>
      <c r="F55" s="8"/>
    </row>
    <row r="56" customFormat="false" ht="15" hidden="false" customHeight="true" outlineLevel="0" collapsed="false">
      <c r="A56" s="3"/>
      <c r="B56" s="4" t="s">
        <v>115</v>
      </c>
      <c r="C56" s="4"/>
      <c r="D56" s="4"/>
      <c r="E56" s="4"/>
      <c r="F56" s="4"/>
    </row>
    <row r="57" customFormat="false" ht="15" hidden="false" customHeight="true" outlineLevel="0" collapsed="false">
      <c r="A57" s="5" t="n">
        <v>47</v>
      </c>
      <c r="B57" s="6" t="s">
        <v>116</v>
      </c>
      <c r="C57" s="6" t="s">
        <v>117</v>
      </c>
      <c r="D57" s="6" t="s">
        <v>118</v>
      </c>
      <c r="E57" s="5" t="s">
        <v>10</v>
      </c>
      <c r="F57" s="6"/>
    </row>
    <row r="58" customFormat="false" ht="15" hidden="false" customHeight="true" outlineLevel="0" collapsed="false">
      <c r="A58" s="3"/>
      <c r="B58" s="4" t="s">
        <v>119</v>
      </c>
      <c r="C58" s="4"/>
      <c r="D58" s="4"/>
      <c r="E58" s="4"/>
      <c r="F58" s="4"/>
    </row>
    <row r="59" customFormat="false" ht="15" hidden="false" customHeight="true" outlineLevel="0" collapsed="false">
      <c r="A59" s="7" t="n">
        <v>48</v>
      </c>
      <c r="B59" s="8" t="s">
        <v>120</v>
      </c>
      <c r="C59" s="8" t="s">
        <v>121</v>
      </c>
      <c r="D59" s="8" t="s">
        <v>122</v>
      </c>
      <c r="E59" s="7" t="s">
        <v>10</v>
      </c>
      <c r="F59" s="8"/>
    </row>
    <row r="60" customFormat="false" ht="15" hidden="false" customHeight="true" outlineLevel="0" collapsed="false">
      <c r="A60" s="3"/>
      <c r="B60" s="4" t="s">
        <v>123</v>
      </c>
      <c r="C60" s="4"/>
      <c r="D60" s="4"/>
      <c r="E60" s="4"/>
      <c r="F60" s="4"/>
    </row>
    <row r="61" customFormat="false" ht="15" hidden="false" customHeight="true" outlineLevel="0" collapsed="false">
      <c r="A61" s="5" t="n">
        <v>49</v>
      </c>
      <c r="B61" s="6" t="s">
        <v>124</v>
      </c>
      <c r="C61" s="6" t="s">
        <v>125</v>
      </c>
      <c r="D61" s="6" t="s">
        <v>126</v>
      </c>
      <c r="E61" s="5" t="s">
        <v>10</v>
      </c>
      <c r="F61" s="6"/>
    </row>
    <row r="62" customFormat="false" ht="15" hidden="false" customHeight="true" outlineLevel="0" collapsed="false">
      <c r="A62" s="7" t="n">
        <v>50</v>
      </c>
      <c r="B62" s="8" t="s">
        <v>124</v>
      </c>
      <c r="C62" s="8" t="s">
        <v>127</v>
      </c>
      <c r="D62" s="8" t="s">
        <v>128</v>
      </c>
      <c r="E62" s="7" t="s">
        <v>10</v>
      </c>
      <c r="F62" s="8"/>
    </row>
    <row r="63" customFormat="false" ht="15" hidden="false" customHeight="true" outlineLevel="0" collapsed="false">
      <c r="A63" s="5" t="n">
        <v>51</v>
      </c>
      <c r="B63" s="6" t="s">
        <v>124</v>
      </c>
      <c r="C63" s="6" t="s">
        <v>129</v>
      </c>
      <c r="D63" s="6" t="s">
        <v>130</v>
      </c>
      <c r="E63" s="5" t="s">
        <v>10</v>
      </c>
      <c r="F63" s="6"/>
    </row>
    <row r="64" customFormat="false" ht="15" hidden="false" customHeight="true" outlineLevel="0" collapsed="false">
      <c r="A64" s="7" t="n">
        <v>52</v>
      </c>
      <c r="B64" s="8" t="s">
        <v>124</v>
      </c>
      <c r="C64" s="8" t="s">
        <v>131</v>
      </c>
      <c r="D64" s="8" t="s">
        <v>132</v>
      </c>
      <c r="E64" s="7" t="s">
        <v>10</v>
      </c>
      <c r="F64" s="8"/>
    </row>
    <row r="65" customFormat="false" ht="15" hidden="false" customHeight="true" outlineLevel="0" collapsed="false">
      <c r="A65" s="3"/>
      <c r="B65" s="4" t="s">
        <v>133</v>
      </c>
      <c r="C65" s="4"/>
      <c r="D65" s="4"/>
      <c r="E65" s="4"/>
      <c r="F65" s="4"/>
    </row>
    <row r="66" customFormat="false" ht="15" hidden="false" customHeight="true" outlineLevel="0" collapsed="false">
      <c r="A66" s="5" t="n">
        <v>53</v>
      </c>
      <c r="B66" s="6" t="s">
        <v>134</v>
      </c>
      <c r="C66" s="6" t="s">
        <v>135</v>
      </c>
      <c r="D66" s="6" t="s">
        <v>136</v>
      </c>
      <c r="E66" s="5" t="s">
        <v>10</v>
      </c>
      <c r="F66" s="6"/>
    </row>
    <row r="67" customFormat="false" ht="15" hidden="false" customHeight="true" outlineLevel="0" collapsed="false">
      <c r="A67" s="7" t="n">
        <v>54</v>
      </c>
      <c r="B67" s="8" t="s">
        <v>134</v>
      </c>
      <c r="C67" s="8" t="s">
        <v>137</v>
      </c>
      <c r="D67" s="8" t="s">
        <v>138</v>
      </c>
      <c r="E67" s="7" t="s">
        <v>10</v>
      </c>
      <c r="F67" s="8"/>
    </row>
    <row r="68" customFormat="false" ht="15" hidden="false" customHeight="true" outlineLevel="0" collapsed="false">
      <c r="A68" s="5" t="n">
        <v>55</v>
      </c>
      <c r="B68" s="6" t="s">
        <v>134</v>
      </c>
      <c r="C68" s="6" t="s">
        <v>139</v>
      </c>
      <c r="D68" s="6" t="s">
        <v>140</v>
      </c>
      <c r="E68" s="5" t="s">
        <v>10</v>
      </c>
      <c r="F68" s="6"/>
    </row>
    <row r="69" customFormat="false" ht="15" hidden="false" customHeight="true" outlineLevel="0" collapsed="false">
      <c r="A69" s="7" t="n">
        <v>56</v>
      </c>
      <c r="B69" s="8" t="s">
        <v>134</v>
      </c>
      <c r="C69" s="8" t="s">
        <v>141</v>
      </c>
      <c r="D69" s="8" t="s">
        <v>142</v>
      </c>
      <c r="E69" s="7" t="s">
        <v>10</v>
      </c>
      <c r="F69" s="8"/>
    </row>
    <row r="70" customFormat="false" ht="15" hidden="false" customHeight="true" outlineLevel="0" collapsed="false">
      <c r="A70" s="5" t="n">
        <v>57</v>
      </c>
      <c r="B70" s="6" t="s">
        <v>134</v>
      </c>
      <c r="C70" s="6" t="s">
        <v>143</v>
      </c>
      <c r="D70" s="6" t="s">
        <v>144</v>
      </c>
      <c r="E70" s="5" t="s">
        <v>10</v>
      </c>
      <c r="F70" s="6"/>
    </row>
    <row r="71" customFormat="false" ht="15" hidden="false" customHeight="true" outlineLevel="0" collapsed="false">
      <c r="A71" s="7" t="n">
        <v>58</v>
      </c>
      <c r="B71" s="8" t="s">
        <v>134</v>
      </c>
      <c r="C71" s="8" t="s">
        <v>145</v>
      </c>
      <c r="D71" s="8" t="s">
        <v>146</v>
      </c>
      <c r="E71" s="7" t="s">
        <v>10</v>
      </c>
      <c r="F71" s="8"/>
    </row>
    <row r="72" customFormat="false" ht="19.5" hidden="false" customHeight="true" outlineLevel="0" collapsed="false">
      <c r="A72" s="9"/>
      <c r="B72" s="10" t="s">
        <v>147</v>
      </c>
      <c r="C72" s="10"/>
      <c r="D72" s="10"/>
      <c r="E72" s="10"/>
      <c r="F72" s="10"/>
    </row>
    <row r="73" customFormat="false" ht="15" hidden="false" customHeight="true" outlineLevel="0" collapsed="false">
      <c r="A73" s="7" t="n">
        <v>66</v>
      </c>
      <c r="B73" s="8" t="s">
        <v>148</v>
      </c>
      <c r="C73" s="8" t="s">
        <v>149</v>
      </c>
      <c r="D73" s="8" t="s">
        <v>150</v>
      </c>
      <c r="E73" s="7" t="s">
        <v>10</v>
      </c>
      <c r="F73" s="8"/>
    </row>
    <row r="74" customFormat="false" ht="15" hidden="false" customHeight="true" outlineLevel="0" collapsed="false">
      <c r="A74" s="5" t="n">
        <v>67</v>
      </c>
      <c r="B74" s="6" t="s">
        <v>148</v>
      </c>
      <c r="C74" s="6" t="s">
        <v>151</v>
      </c>
      <c r="D74" s="6" t="s">
        <v>152</v>
      </c>
      <c r="E74" s="5" t="s">
        <v>10</v>
      </c>
      <c r="F74" s="6"/>
    </row>
    <row r="75" customFormat="false" ht="15" hidden="false" customHeight="true" outlineLevel="0" collapsed="false">
      <c r="A75" s="7" t="n">
        <v>68</v>
      </c>
      <c r="B75" s="8" t="s">
        <v>148</v>
      </c>
      <c r="C75" s="8" t="s">
        <v>153</v>
      </c>
      <c r="D75" s="8" t="s">
        <v>154</v>
      </c>
      <c r="E75" s="7" t="s">
        <v>10</v>
      </c>
      <c r="F75" s="8"/>
    </row>
    <row r="76" customFormat="false" ht="15" hidden="false" customHeight="true" outlineLevel="0" collapsed="false">
      <c r="A76" s="5" t="n">
        <v>69</v>
      </c>
      <c r="B76" s="6" t="s">
        <v>148</v>
      </c>
      <c r="C76" s="6" t="s">
        <v>155</v>
      </c>
      <c r="D76" s="6" t="s">
        <v>156</v>
      </c>
      <c r="E76" s="6" t="s">
        <v>10</v>
      </c>
      <c r="F76" s="6"/>
    </row>
    <row r="77" customFormat="false" ht="15" hidden="false" customHeight="true" outlineLevel="0" collapsed="false">
      <c r="A77" s="7" t="n">
        <v>70</v>
      </c>
      <c r="B77" s="8" t="s">
        <v>148</v>
      </c>
      <c r="C77" s="8" t="s">
        <v>157</v>
      </c>
      <c r="D77" s="8" t="s">
        <v>158</v>
      </c>
      <c r="E77" s="7" t="s">
        <v>10</v>
      </c>
      <c r="F77" s="8"/>
    </row>
    <row r="78" customFormat="false" ht="15" hidden="false" customHeight="true" outlineLevel="0" collapsed="false">
      <c r="A78" s="5" t="n">
        <v>71</v>
      </c>
      <c r="B78" s="6" t="s">
        <v>148</v>
      </c>
      <c r="C78" s="6" t="s">
        <v>159</v>
      </c>
      <c r="D78" s="6" t="s">
        <v>160</v>
      </c>
      <c r="E78" s="5" t="s">
        <v>10</v>
      </c>
      <c r="F78" s="6"/>
    </row>
    <row r="79" customFormat="false" ht="15" hidden="false" customHeight="true" outlineLevel="0" collapsed="false">
      <c r="A79" s="7" t="n">
        <v>72</v>
      </c>
      <c r="B79" s="8" t="s">
        <v>148</v>
      </c>
      <c r="C79" s="8" t="s">
        <v>161</v>
      </c>
      <c r="D79" s="8" t="s">
        <v>162</v>
      </c>
      <c r="E79" s="7" t="s">
        <v>10</v>
      </c>
      <c r="F79" s="8"/>
    </row>
    <row r="80" customFormat="false" ht="15" hidden="false" customHeight="true" outlineLevel="0" collapsed="false">
      <c r="A80" s="5" t="n">
        <v>73</v>
      </c>
      <c r="B80" s="6" t="s">
        <v>148</v>
      </c>
      <c r="C80" s="6" t="s">
        <v>163</v>
      </c>
      <c r="D80" s="6" t="s">
        <v>164</v>
      </c>
      <c r="E80" s="5" t="s">
        <v>10</v>
      </c>
      <c r="F80" s="6"/>
    </row>
    <row r="81" customFormat="false" ht="15" hidden="false" customHeight="false" outlineLevel="0" collapsed="false">
      <c r="A81" s="3"/>
      <c r="B81" s="4" t="s">
        <v>165</v>
      </c>
      <c r="C81" s="11"/>
      <c r="D81" s="11"/>
      <c r="E81" s="11"/>
      <c r="F81" s="12"/>
    </row>
    <row r="82" customFormat="false" ht="64.9" hidden="false" customHeight="false" outlineLevel="0" collapsed="false">
      <c r="A82" s="5" t="n">
        <v>59</v>
      </c>
      <c r="B82" s="6" t="s">
        <v>166</v>
      </c>
      <c r="C82" s="6" t="s">
        <v>167</v>
      </c>
      <c r="D82" s="6" t="s">
        <v>168</v>
      </c>
      <c r="E82" s="5" t="s">
        <v>10</v>
      </c>
      <c r="F82" s="6"/>
    </row>
    <row r="83" customFormat="false" ht="26.85" hidden="false" customHeight="false" outlineLevel="0" collapsed="false">
      <c r="A83" s="7" t="n">
        <v>60</v>
      </c>
      <c r="B83" s="8" t="s">
        <v>166</v>
      </c>
      <c r="C83" s="8" t="s">
        <v>169</v>
      </c>
      <c r="D83" s="8" t="s">
        <v>170</v>
      </c>
      <c r="E83" s="7" t="s">
        <v>10</v>
      </c>
      <c r="F83" s="8"/>
    </row>
    <row r="84" customFormat="false" ht="26.85" hidden="false" customHeight="false" outlineLevel="0" collapsed="false">
      <c r="A84" s="5" t="n">
        <v>61</v>
      </c>
      <c r="B84" s="6" t="s">
        <v>166</v>
      </c>
      <c r="C84" s="6" t="s">
        <v>171</v>
      </c>
      <c r="D84" s="6" t="s">
        <v>172</v>
      </c>
      <c r="E84" s="5" t="s">
        <v>10</v>
      </c>
      <c r="F84" s="6"/>
    </row>
    <row r="85" customFormat="false" ht="15" hidden="false" customHeight="false" outlineLevel="0" collapsed="false">
      <c r="A85" s="3"/>
      <c r="B85" s="4" t="s">
        <v>173</v>
      </c>
      <c r="C85" s="11"/>
      <c r="D85" s="11"/>
      <c r="E85" s="11"/>
      <c r="F85" s="12"/>
    </row>
    <row r="86" customFormat="false" ht="39.55" hidden="false" customHeight="false" outlineLevel="0" collapsed="false">
      <c r="A86" s="7" t="n">
        <v>62</v>
      </c>
      <c r="B86" s="8" t="s">
        <v>174</v>
      </c>
      <c r="C86" s="8" t="s">
        <v>175</v>
      </c>
      <c r="D86" s="8" t="s">
        <v>176</v>
      </c>
      <c r="E86" s="7" t="s">
        <v>10</v>
      </c>
      <c r="F86" s="8"/>
    </row>
    <row r="87" customFormat="false" ht="39.55" hidden="false" customHeight="false" outlineLevel="0" collapsed="false">
      <c r="A87" s="5" t="n">
        <v>63</v>
      </c>
      <c r="B87" s="6" t="s">
        <v>174</v>
      </c>
      <c r="C87" s="6" t="s">
        <v>177</v>
      </c>
      <c r="D87" s="6" t="s">
        <v>178</v>
      </c>
      <c r="E87" s="5" t="s">
        <v>10</v>
      </c>
      <c r="F87" s="6"/>
    </row>
    <row r="88" customFormat="false" ht="26.85" hidden="false" customHeight="false" outlineLevel="0" collapsed="false">
      <c r="A88" s="7" t="n">
        <v>64</v>
      </c>
      <c r="B88" s="8" t="s">
        <v>174</v>
      </c>
      <c r="C88" s="8" t="s">
        <v>179</v>
      </c>
      <c r="D88" s="8" t="s">
        <v>180</v>
      </c>
      <c r="E88" s="7" t="s">
        <v>10</v>
      </c>
      <c r="F88" s="8"/>
    </row>
    <row r="89" customFormat="false" ht="26.85" hidden="false" customHeight="false" outlineLevel="0" collapsed="false">
      <c r="A89" s="5" t="n">
        <v>65</v>
      </c>
      <c r="B89" s="6" t="s">
        <v>174</v>
      </c>
      <c r="C89" s="6" t="s">
        <v>181</v>
      </c>
      <c r="D89" s="6" t="s">
        <v>182</v>
      </c>
      <c r="E89" s="5" t="s">
        <v>10</v>
      </c>
      <c r="F89" s="6"/>
    </row>
  </sheetData>
  <mergeCells count="14">
    <mergeCell ref="B2:F2"/>
    <mergeCell ref="B8:F8"/>
    <mergeCell ref="B18:F18"/>
    <mergeCell ref="B29:F29"/>
    <mergeCell ref="B35:F35"/>
    <mergeCell ref="B42:F42"/>
    <mergeCell ref="B48:F48"/>
    <mergeCell ref="B53:F53"/>
    <mergeCell ref="B56:F56"/>
    <mergeCell ref="B58:F58"/>
    <mergeCell ref="B60:F60"/>
    <mergeCell ref="B65:F65"/>
    <mergeCell ref="B72:F72"/>
    <mergeCell ref="B76:F76"/>
  </mergeCells>
  <dataValidations count="1">
    <dataValidation allowBlank="true" errorStyle="stop" operator="between" showDropDown="false" showErrorMessage="false" showInputMessage="false" sqref="E2:E89" type="list">
      <formula1>"Not tested,Pass,Fail,Partial,Blocked"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4"/>
  </cols>
  <sheetData>
    <row r="1" customFormat="false" ht="17.25" hidden="false" customHeight="true" outlineLevel="0" collapsed="false">
      <c r="A1" s="13" t="s">
        <v>183</v>
      </c>
    </row>
    <row r="3" customFormat="false" ht="15" hidden="false" customHeight="true" outlineLevel="0" collapsed="false">
      <c r="A3" s="14" t="s">
        <v>184</v>
      </c>
      <c r="B3" s="1" t="n">
        <f aca="false">COUNTA('QA Checklist'!C2:C89)-COUNTBLANK('QA Checklist'!C2:C89)</f>
        <v>58</v>
      </c>
    </row>
    <row r="4" customFormat="false" ht="15" hidden="false" customHeight="true" outlineLevel="0" collapsed="false">
      <c r="A4" s="14" t="s">
        <v>185</v>
      </c>
      <c r="B4" s="1" t="n">
        <f aca="false">COUNTIF('QA Checklist'!E2:E89,"Pass")</f>
        <v>0</v>
      </c>
    </row>
    <row r="5" customFormat="false" ht="15" hidden="false" customHeight="true" outlineLevel="0" collapsed="false">
      <c r="A5" s="14" t="s">
        <v>186</v>
      </c>
      <c r="B5" s="1" t="n">
        <f aca="false">COUNTIF('QA Checklist'!E2:E89,"Fail")</f>
        <v>0</v>
      </c>
    </row>
    <row r="6" customFormat="false" ht="15" hidden="false" customHeight="true" outlineLevel="0" collapsed="false">
      <c r="A6" s="14" t="s">
        <v>187</v>
      </c>
      <c r="B6" s="1" t="n">
        <f aca="false">COUNTIF('QA Checklist'!E2:E89,"Partial")</f>
        <v>0</v>
      </c>
    </row>
    <row r="7" customFormat="false" ht="15" hidden="false" customHeight="true" outlineLevel="0" collapsed="false">
      <c r="A7" s="14" t="s">
        <v>188</v>
      </c>
      <c r="B7" s="1" t="n">
        <f aca="false">COUNTIF('QA Checklist'!E2:E89,"Blocked")</f>
        <v>0</v>
      </c>
    </row>
    <row r="8" customFormat="false" ht="15" hidden="false" customHeight="true" outlineLevel="0" collapsed="false">
      <c r="A8" s="14" t="s">
        <v>10</v>
      </c>
      <c r="B8" s="1" t="n">
        <f aca="false">COUNTIF('QA Checklist'!E2:E89,"Not tested")</f>
        <v>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2026-09-23T05:32:28Z</dcterms:created>
  <dc:creator>openpyxl</dc:creator>
  <dc:description/>
  <dc:language>en-US</dc:language>
  <cp:lastModifiedBy/>
  <dcterms:modified xsi:type="dcterms:W3CDTF">2026-09-23T05:45:51Z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